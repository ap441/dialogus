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print 1_Functional Test Cases" sheetId="1" state="visible" r:id="rId3"/>
    <sheet name="Sprint 2_Functional 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<sst xmlns="http://schemas.openxmlformats.org/spreadsheetml/2006/main" count="368" uniqueCount="192">
  <si>
    <t xml:space="preserve">Dialogus</t>
  </si>
  <si>
    <t xml:space="preserve">Sprint 1</t>
  </si>
  <si>
    <t xml:space="preserve">Functional Test Case Template</t>
  </si>
  <si>
    <t xml:space="preserve">Test Case ID</t>
  </si>
  <si>
    <t xml:space="preserve">Version</t>
  </si>
  <si>
    <t xml:space="preserve">Feature</t>
  </si>
  <si>
    <t xml:space="preserve">Test Case</t>
  </si>
  <si>
    <t xml:space="preserve">Preconditions</t>
  </si>
  <si>
    <t xml:space="preserve">Steps to Execute Test Case</t>
  </si>
  <si>
    <t xml:space="preserve">Test Data</t>
  </si>
  <si>
    <t xml:space="preserve">Expected Output</t>
  </si>
  <si>
    <t xml:space="preserve">Actual Output</t>
  </si>
  <si>
    <t xml:space="preserve">Status</t>
  </si>
  <si>
    <t xml:space="preserve">Bug ID</t>
  </si>
  <si>
    <t xml:space="preserve">Bug Title</t>
  </si>
  <si>
    <t xml:space="preserve">Screenshot</t>
  </si>
  <si>
    <t xml:space="preserve">Root Cause (Issue Description)</t>
  </si>
  <si>
    <t xml:space="preserve">Resolution</t>
  </si>
  <si>
    <t xml:space="preserve">Execution Date</t>
  </si>
  <si>
    <t xml:space="preserve">Retest Status</t>
  </si>
  <si>
    <t xml:space="preserve">Remarks</t>
  </si>
  <si>
    <t xml:space="preserve">TC_001</t>
  </si>
  <si>
    <t xml:space="preserve">V1.0</t>
  </si>
  <si>
    <t xml:space="preserve">Signup</t>
  </si>
  <si>
    <t xml:space="preserve">Signup with valid email</t>
  </si>
  <si>
    <t xml:space="preserve">User not registered yet</t>
  </si>
  <si>
    <t xml:space="preserve">Go to signup page -&gt; fill name, email, password -&gt; submit</t>
  </si>
  <si>
    <t xml:space="preserve">newuser1@dialogus.com</t>
  </si>
  <si>
    <t xml:space="preserve">Account should be created and redirected to /home</t>
  </si>
  <si>
    <t xml:space="preserve">Showed duplicate-email message once for a fresh email</t>
  </si>
  <si>
    <t xml:space="preserve">Fail</t>
  </si>
  <si>
    <t xml:space="preserve">BUG_001</t>
  </si>
  <si>
    <t xml:space="preserve">Signup duplicate check issue</t>
  </si>
  <si>
    <t xml:space="preserve">Email existence check branch was not stable in one flow</t>
  </si>
  <si>
    <t xml:space="preserve">Adjusted duplicate check and commit order in signup path</t>
  </si>
  <si>
    <t xml:space="preserve">05-04-2026</t>
  </si>
  <si>
    <t xml:space="preserve">Found during first execution</t>
  </si>
  <si>
    <t xml:space="preserve">V1.1</t>
  </si>
  <si>
    <t xml:space="preserve">Same steps as V1.0</t>
  </si>
  <si>
    <t xml:space="preserve">newuser1@dialogus.acom</t>
  </si>
  <si>
    <t xml:space="preserve">Account created and redirected correctly</t>
  </si>
  <si>
    <t xml:space="preserve">Pass</t>
  </si>
  <si>
    <t xml:space="preserve">Fixed</t>
  </si>
  <si>
    <t xml:space="preserve">Verified on retest</t>
  </si>
  <si>
    <t xml:space="preserve">06-04-2026</t>
  </si>
  <si>
    <t xml:space="preserve">Retest okay</t>
  </si>
  <si>
    <t xml:space="preserve">TC_002</t>
  </si>
  <si>
    <t xml:space="preserve">Login</t>
  </si>
  <si>
    <t xml:space="preserve">Login with demo credentials</t>
  </si>
  <si>
    <t xml:space="preserve">Demo user exists</t>
  </si>
  <si>
    <t xml:space="preserve">Open login -&gt; enter email/password -&gt; click login</t>
  </si>
  <si>
    <t xml:space="preserve">demo@dialogus.com / password123</t>
  </si>
  <si>
    <t xml:space="preserve">User should enter home page</t>
  </si>
  <si>
    <t xml:space="preserve">Login failed once with valid creds</t>
  </si>
  <si>
    <t xml:space="preserve">BUG_002</t>
  </si>
  <si>
    <t xml:space="preserve">Login auth mismatch</t>
  </si>
  <si>
    <t xml:space="preserve">Credential verification branch issue</t>
  </si>
  <si>
    <t xml:space="preserve">Updated auth check and retried token flow</t>
  </si>
  <si>
    <t xml:space="preserve">Failed on first run</t>
  </si>
  <si>
    <t xml:space="preserve">Login successful and token saved</t>
  </si>
  <si>
    <t xml:space="preserve">Retested and confirmed</t>
  </si>
  <si>
    <t xml:space="preserve">Working now</t>
  </si>
  <si>
    <t xml:space="preserve">TC_003</t>
  </si>
  <si>
    <t xml:space="preserve">Home Discovery</t>
  </si>
  <si>
    <t xml:space="preserve">Load home data</t>
  </si>
  <si>
    <t xml:space="preserve">User is logged in</t>
  </si>
  <si>
    <t xml:space="preserve">Open /home after login</t>
  </si>
  <si>
    <t xml:space="preserve">seed data</t>
  </si>
  <si>
    <t xml:space="preserve">Trending + recommended should load</t>
  </si>
  <si>
    <t xml:space="preserve">Cards were partially empty in one state</t>
  </si>
  <si>
    <t xml:space="preserve">BUG_003</t>
  </si>
  <si>
    <t xml:space="preserve">Home payload mapping issue</t>
  </si>
  <si>
    <t xml:space="preserve">Not Reproducible in Current Build</t>
  </si>
  <si>
    <t xml:space="preserve">Frontend mapping did not handle one response case</t>
  </si>
  <si>
    <t xml:space="preserve">Updated mapping and fallback handling</t>
  </si>
  <si>
    <t xml:space="preserve">Observed while refreshing | Not reproducible in current build; referenced historical defect case.</t>
  </si>
  <si>
    <t xml:space="preserve">All cards loaded correctly</t>
  </si>
  <si>
    <t xml:space="preserve">Retest passed</t>
  </si>
  <si>
    <t xml:space="preserve">Stable after fix</t>
  </si>
  <si>
    <t xml:space="preserve">TC_004</t>
  </si>
  <si>
    <t xml:space="preserve">Browse</t>
  </si>
  <si>
    <t xml:space="preserve">Search books by keyword</t>
  </si>
  <si>
    <t xml:space="preserve">Open browse -&gt; type query in search box</t>
  </si>
  <si>
    <t xml:space="preserve">fantasy</t>
  </si>
  <si>
    <t xml:space="preserve">Matching books should appear</t>
  </si>
  <si>
    <t xml:space="preserve">List did not refresh immediately in one run</t>
  </si>
  <si>
    <t xml:space="preserve">BUG_004</t>
  </si>
  <si>
    <t xml:space="preserve">Browse search refresh issue</t>
  </si>
  <si>
    <t xml:space="preserve">Query state change was not triggering clean refresh</t>
  </si>
  <si>
    <t xml:space="preserve">Adjusted query-triggered fetch behavior</t>
  </si>
  <si>
    <t xml:space="preserve">Intermittent issue | Not reproducible in current build; referenced historical defect case.</t>
  </si>
  <si>
    <t xml:space="preserve">Books list updated correctly</t>
  </si>
  <si>
    <t xml:space="preserve">Looks good</t>
  </si>
  <si>
    <t xml:space="preserve">TC_005</t>
  </si>
  <si>
    <t xml:space="preserve">Book Detail</t>
  </si>
  <si>
    <t xml:space="preserve">Open a book detail page</t>
  </si>
  <si>
    <t xml:space="preserve">User is logged in, valid book present</t>
  </si>
  <si>
    <t xml:space="preserve">Click any book card from browse/home</t>
  </si>
  <si>
    <t xml:space="preserve">book_id=1</t>
  </si>
  <si>
    <t xml:space="preserve">Book details + discussion cards should load</t>
  </si>
  <si>
    <t xml:space="preserve">Loaded correctly</t>
  </si>
  <si>
    <t xml:space="preserve">N/A</t>
  </si>
  <si>
    <t xml:space="preserve">No issue</t>
  </si>
  <si>
    <t xml:space="preserve">TC_006</t>
  </si>
  <si>
    <t xml:space="preserve">Access Control</t>
  </si>
  <si>
    <t xml:space="preserve">Open home without token</t>
  </si>
  <si>
    <t xml:space="preserve">No token in local storage</t>
  </si>
  <si>
    <t xml:space="preserve">Manually open /home URL</t>
  </si>
  <si>
    <t xml:space="preserve">No auth token</t>
  </si>
  <si>
    <t xml:space="preserve">App should redirect to /login</t>
  </si>
  <si>
    <t xml:space="preserve">Redirect worked</t>
  </si>
  <si>
    <t xml:space="preserve">Expected behavior</t>
  </si>
  <si>
    <t xml:space="preserve">Sprint 2</t>
  </si>
  <si>
    <t xml:space="preserve">TC_007</t>
  </si>
  <si>
    <t xml:space="preserve">Timeline Feed</t>
  </si>
  <si>
    <t xml:space="preserve">Timeline should load latest discussions</t>
  </si>
  <si>
    <t xml:space="preserve">Open home page</t>
  </si>
  <si>
    <t xml:space="preserve">existing discussions</t>
  </si>
  <si>
    <t xml:space="preserve">Timeline list should appear</t>
  </si>
  <si>
    <t xml:space="preserve">Timeline loaded correctly</t>
  </si>
  <si>
    <t xml:space="preserve">10-04-2026</t>
  </si>
  <si>
    <t xml:space="preserve">TC_008</t>
  </si>
  <si>
    <t xml:space="preserve">Search should filter timeline</t>
  </si>
  <si>
    <t xml:space="preserve">Type keyword in home search</t>
  </si>
  <si>
    <t xml:space="preserve">shadow</t>
  </si>
  <si>
    <t xml:space="preserve">Timeline should update with matching posts</t>
  </si>
  <si>
    <t xml:space="preserve">One old card stayed visible once</t>
  </si>
  <si>
    <t xml:space="preserve">BUG_005</t>
  </si>
  <si>
    <t xml:space="preserve">Timeline stale card issue</t>
  </si>
  <si>
    <t xml:space="preserve">State update missed one render path</t>
  </si>
  <si>
    <t xml:space="preserve">Unified timeline state update after search response</t>
  </si>
  <si>
    <t xml:space="preserve">Seen during quick typing | Not reproducible in current build; referenced historical defect case.</t>
  </si>
  <si>
    <t xml:space="preserve">Timeline filtered correctly</t>
  </si>
  <si>
    <t xml:space="preserve">Retested successfully</t>
  </si>
  <si>
    <t xml:space="preserve">11-04-2026</t>
  </si>
  <si>
    <t xml:space="preserve">Now consistent</t>
  </si>
  <si>
    <t xml:space="preserve">TC_009</t>
  </si>
  <si>
    <t xml:space="preserve">Appreciation</t>
  </si>
  <si>
    <t xml:space="preserve">React with Like</t>
  </si>
  <si>
    <t xml:space="preserve">User logged in, discussion exists</t>
  </si>
  <si>
    <t xml:space="preserve">Click heart icon in discussion card</t>
  </si>
  <si>
    <t xml:space="preserve">discussion_id=3</t>
  </si>
  <si>
    <t xml:space="preserve">Like count should increase and button active</t>
  </si>
  <si>
    <t xml:space="preserve">Worked as expected</t>
  </si>
  <si>
    <t xml:space="preserve">TC_010</t>
  </si>
  <si>
    <t xml:space="preserve">Switch reaction Like to Recommend</t>
  </si>
  <si>
    <t xml:space="preserve">User already liked a discussion</t>
  </si>
  <si>
    <t xml:space="preserve">Click star icon after like</t>
  </si>
  <si>
    <t xml:space="preserve">Like should decrease and recommend should increase</t>
  </si>
  <si>
    <t xml:space="preserve">Recommend count did not update once</t>
  </si>
  <si>
    <t xml:space="preserve">BUG_006</t>
  </si>
  <si>
    <t xml:space="preserve">Reaction switch count mismatch</t>
  </si>
  <si>
    <t xml:space="preserve">Reaction switch branch did not update all counters</t>
  </si>
  <si>
    <t xml:space="preserve">Moved all switch logic to one backend path</t>
  </si>
  <si>
    <t xml:space="preserve">Edge case found</t>
  </si>
  <si>
    <t xml:space="preserve">Counts updated correctly</t>
  </si>
  <si>
    <t xml:space="preserve">Retested and passed</t>
  </si>
  <si>
    <t xml:space="preserve">Good now</t>
  </si>
  <si>
    <t xml:space="preserve">TC_011</t>
  </si>
  <si>
    <t xml:space="preserve">Thread Engine</t>
  </si>
  <si>
    <t xml:space="preserve">Open full thread page</t>
  </si>
  <si>
    <t xml:space="preserve">User logged in and discussion exists</t>
  </si>
  <si>
    <t xml:space="preserve">Click a discussion card</t>
  </si>
  <si>
    <t xml:space="preserve">Thread title/body/replies should load</t>
  </si>
  <si>
    <t xml:space="preserve">TC_012</t>
  </si>
  <si>
    <t xml:space="preserve">Post nested reply</t>
  </si>
  <si>
    <t xml:space="preserve">Thread has at least one reply</t>
  </si>
  <si>
    <t xml:space="preserve">Click Reply on a post -&gt; submit message</t>
  </si>
  <si>
    <t xml:space="preserve">parent_post_id=valid</t>
  </si>
  <si>
    <t xml:space="preserve">Reply should show with deeper indentation</t>
  </si>
  <si>
    <t xml:space="preserve">Reply was posted but depth looked flat</t>
  </si>
  <si>
    <t xml:space="preserve">BUG_007</t>
  </si>
  <si>
    <t xml:space="preserve">Nested reply depth issue</t>
  </si>
  <si>
    <t xml:space="preserve">Depth computation did not traverse full parent chain</t>
  </si>
  <si>
    <t xml:space="preserve">Added parent-chain depth calculation</t>
  </si>
  <si>
    <t xml:space="preserve">Found in nested scenario | Not reproducible in current build; referenced historical defect case.</t>
  </si>
  <si>
    <t xml:space="preserve">Depth shown correctly and replies increased</t>
  </si>
  <si>
    <t xml:space="preserve">Looks correct</t>
  </si>
  <si>
    <t xml:space="preserve">TC_013</t>
  </si>
  <si>
    <t xml:space="preserve">Notifications</t>
  </si>
  <si>
    <t xml:space="preserve">Notification icon visible in navbar</t>
  </si>
  <si>
    <t xml:space="preserve">User logged in</t>
  </si>
  <si>
    <t xml:space="preserve">Check top navbar actions</t>
  </si>
  <si>
    <t xml:space="preserve">Bell icon should be visible</t>
  </si>
  <si>
    <t xml:space="preserve">Visible</t>
  </si>
  <si>
    <t xml:space="preserve">UI placeholder only</t>
  </si>
  <si>
    <t xml:space="preserve">TC_014</t>
  </si>
  <si>
    <t xml:space="preserve">Click notification icon</t>
  </si>
  <si>
    <t xml:space="preserve">Click bell icon</t>
  </si>
  <si>
    <t xml:space="preserve">Current sprint behavior should stay as placeholder</t>
  </si>
  <si>
    <t xml:space="preserve">Placeholder behavior confirmed</t>
  </si>
  <si>
    <t xml:space="preserve">Full notification feed planned next sprint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</si>
</sst>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rgb="FFFFFFFF"/>
      <name val="Cambria"/>
      <family val="1"/>
      <charset val="1"/>
    </font>
    <font>
      <sz val="10"/>
      <color theme="1"/>
      <name val="Times New Roman"/>
      <family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AAC90"/>
        <bgColor rgb="FF808080"/>
      </patternFill>
    </fill>
    <fill>
      <patternFill patternType="solid">
        <fgColor rgb="FF92D050"/>
        <bgColor rgb="FF6AAC9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6AAC9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ewuser1@dialogus.com" TargetMode="External"/><Relationship Id="rId2" Type="http://schemas.openxmlformats.org/officeDocument/2006/relationships/hyperlink" Target="mailto:newuser1@dialogus.acom" TargetMode="External"/><Relationship Id="rId3" Type="http://schemas.openxmlformats.org/officeDocument/2006/relationships/hyperlink" Target="mailto:demo@dialogus.com" TargetMode="External"/><Relationship Id="rId4" Type="http://schemas.openxmlformats.org/officeDocument/2006/relationships/hyperlink" Target="mailto:demo@dialogus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M19" activeCellId="0" sqref="M19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7.96"/>
    <col collapsed="false" customWidth="true" hidden="false" outlineLevel="0" max="2" min="2" style="1" width="7.09"/>
    <col collapsed="false" customWidth="true" hidden="false" outlineLevel="0" max="3" min="3" style="1" width="25"/>
    <col collapsed="false" customWidth="true" hidden="false" outlineLevel="0" max="4" min="4" style="1" width="31.49"/>
    <col collapsed="false" customWidth="true" hidden="false" outlineLevel="0" max="5" min="5" style="1" width="35.42"/>
    <col collapsed="false" customWidth="true" hidden="false" outlineLevel="0" max="6" min="6" style="1" width="56.5"/>
    <col collapsed="false" customWidth="true" hidden="false" outlineLevel="0" max="7" min="7" style="1" width="35.91"/>
    <col collapsed="false" customWidth="true" hidden="false" outlineLevel="0" max="8" min="8" style="1" width="47.06"/>
    <col collapsed="false" customWidth="true" hidden="false" outlineLevel="0" max="9" min="9" style="1" width="54.54"/>
    <col collapsed="false" customWidth="true" hidden="false" outlineLevel="0" max="10" min="10" style="1" width="19.85"/>
    <col collapsed="false" customWidth="true" hidden="false" outlineLevel="0" max="11" min="11" style="1" width="18.26"/>
    <col collapsed="false" customWidth="true" hidden="false" outlineLevel="0" max="12" min="12" style="1" width="33.33"/>
    <col collapsed="false" customWidth="true" hidden="false" outlineLevel="0" max="13" min="13" style="1" width="26.47"/>
    <col collapsed="false" customWidth="true" hidden="false" outlineLevel="0" max="14" min="14" style="1" width="54.79"/>
    <col collapsed="false" customWidth="true" hidden="false" outlineLevel="0" max="15" min="15" style="1" width="55.03"/>
    <col collapsed="false" customWidth="true" hidden="false" outlineLevel="0" max="16" min="16" style="1" width="25"/>
    <col collapsed="false" customWidth="true" hidden="false" outlineLevel="0" max="17" min="17" style="1" width="12.45"/>
    <col collapsed="false" customWidth="true" hidden="false" outlineLevel="0" max="18" min="18" style="1" width="84.94"/>
  </cols>
  <sheetData>
    <row r="1" customFormat="false" ht="14.25" hidden="false" customHeight="true" outlineLevel="0" collapsed="false">
      <c r="D1" s="2" t="s">
        <v>0</v>
      </c>
      <c r="E1" s="2"/>
      <c r="F1" s="2"/>
      <c r="G1" s="3"/>
      <c r="H1" s="3"/>
      <c r="I1" s="3"/>
      <c r="J1" s="3"/>
    </row>
    <row r="2" customFormat="false" ht="14.25" hidden="false" customHeight="true" outlineLevel="0" collapsed="false">
      <c r="E2" s="3" t="s">
        <v>1</v>
      </c>
    </row>
    <row r="3" customFormat="false" ht="15" hidden="false" customHeight="true" outlineLevel="0" collapsed="false">
      <c r="D3" s="4" t="s">
        <v>2</v>
      </c>
      <c r="E3" s="4"/>
      <c r="F3" s="4"/>
    </row>
    <row r="4" customFormat="false" ht="14.2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customFormat="false" ht="15.75" hidden="false" customHeight="true" outlineLevel="0" collapsed="false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  <c r="K5" s="6" t="s">
        <v>31</v>
      </c>
      <c r="L5" s="6" t="s">
        <v>32</v>
      </c>
      <c r="M5" s="6" t="str">
        <f aca="false">HYPERLINK("https://drive.google.com/file/d/1XJ5QHUhR8ZGK2XJXlbzh7Vh2b_cs-HTs/view?usp=sharing", "SS_001")</f>
        <v>SS_001</v>
      </c>
      <c r="N5" s="6" t="s">
        <v>33</v>
      </c>
      <c r="O5" s="6" t="s">
        <v>34</v>
      </c>
      <c r="P5" s="6" t="s">
        <v>35</v>
      </c>
      <c r="Q5" s="6"/>
      <c r="R5" s="6" t="s">
        <v>36</v>
      </c>
    </row>
    <row r="6" customFormat="false" ht="15.75" hidden="false" customHeight="true" outlineLevel="0" collapsed="false">
      <c r="A6" s="6" t="s">
        <v>21</v>
      </c>
      <c r="B6" s="6" t="s">
        <v>37</v>
      </c>
      <c r="C6" s="6" t="s">
        <v>23</v>
      </c>
      <c r="D6" s="6" t="s">
        <v>24</v>
      </c>
      <c r="E6" s="6" t="s">
        <v>25</v>
      </c>
      <c r="F6" s="6" t="s">
        <v>38</v>
      </c>
      <c r="G6" s="6" t="s">
        <v>39</v>
      </c>
      <c r="H6" s="6" t="s">
        <v>28</v>
      </c>
      <c r="I6" s="6" t="s">
        <v>40</v>
      </c>
      <c r="J6" s="6" t="s">
        <v>41</v>
      </c>
      <c r="K6" s="6" t="s">
        <v>31</v>
      </c>
      <c r="L6" s="6" t="s">
        <v>32</v>
      </c>
      <c r="M6" s="6" t="str">
        <f aca="false">HYPERLINK("https://drive.google.com/file/d/1zrz6ckagldVF77V1JjsmiNlZ8MjMdlyy/view?usp=sharing", "SS_002")</f>
        <v>SS_002</v>
      </c>
      <c r="N6" s="6" t="s">
        <v>42</v>
      </c>
      <c r="O6" s="6" t="s">
        <v>43</v>
      </c>
      <c r="P6" s="6" t="s">
        <v>44</v>
      </c>
      <c r="Q6" s="6" t="s">
        <v>41</v>
      </c>
      <c r="R6" s="6" t="s">
        <v>45</v>
      </c>
    </row>
    <row r="7" customFormat="false" ht="15.75" hidden="false" customHeight="true" outlineLevel="0" collapsed="false">
      <c r="A7" s="6" t="s">
        <v>46</v>
      </c>
      <c r="B7" s="6" t="s">
        <v>22</v>
      </c>
      <c r="C7" s="6" t="s">
        <v>47</v>
      </c>
      <c r="D7" s="6" t="s">
        <v>48</v>
      </c>
      <c r="E7" s="6" t="s">
        <v>49</v>
      </c>
      <c r="F7" s="6" t="s">
        <v>50</v>
      </c>
      <c r="G7" s="6" t="s">
        <v>51</v>
      </c>
      <c r="H7" s="6" t="s">
        <v>52</v>
      </c>
      <c r="I7" s="6" t="s">
        <v>53</v>
      </c>
      <c r="J7" s="6" t="s">
        <v>30</v>
      </c>
      <c r="K7" s="6" t="s">
        <v>54</v>
      </c>
      <c r="L7" s="6" t="s">
        <v>55</v>
      </c>
      <c r="M7" s="6" t="str">
        <f aca="false">HYPERLINK("https://drive.google.com/file/d/1PgBkC84_WrVHvc3BOuX6aiQKtAwl2I64/view?usp=sharing", "SS_003")</f>
        <v>SS_003</v>
      </c>
      <c r="N7" s="6" t="s">
        <v>56</v>
      </c>
      <c r="O7" s="6" t="s">
        <v>57</v>
      </c>
      <c r="P7" s="6" t="s">
        <v>35</v>
      </c>
      <c r="Q7" s="6"/>
      <c r="R7" s="6" t="s">
        <v>58</v>
      </c>
    </row>
    <row r="8" customFormat="false" ht="15.75" hidden="false" customHeight="true" outlineLevel="0" collapsed="false">
      <c r="A8" s="6" t="s">
        <v>46</v>
      </c>
      <c r="B8" s="6" t="s">
        <v>37</v>
      </c>
      <c r="C8" s="6" t="s">
        <v>47</v>
      </c>
      <c r="D8" s="6" t="s">
        <v>48</v>
      </c>
      <c r="E8" s="6" t="s">
        <v>49</v>
      </c>
      <c r="F8" s="6" t="s">
        <v>38</v>
      </c>
      <c r="G8" s="6" t="s">
        <v>51</v>
      </c>
      <c r="H8" s="6" t="s">
        <v>52</v>
      </c>
      <c r="I8" s="6" t="s">
        <v>59</v>
      </c>
      <c r="J8" s="6" t="s">
        <v>41</v>
      </c>
      <c r="K8" s="6" t="s">
        <v>54</v>
      </c>
      <c r="L8" s="6" t="s">
        <v>55</v>
      </c>
      <c r="M8" s="6" t="str">
        <f aca="false">HYPERLINK("https://drive.google.com/file/d/1OsaLoG9DZWo0W_JoDSE5a6Hejys7gq8J/view?usp=sharing", "SS_004")</f>
        <v>SS_004</v>
      </c>
      <c r="N8" s="6" t="s">
        <v>42</v>
      </c>
      <c r="O8" s="6" t="s">
        <v>60</v>
      </c>
      <c r="P8" s="6" t="s">
        <v>44</v>
      </c>
      <c r="Q8" s="6" t="s">
        <v>41</v>
      </c>
      <c r="R8" s="6" t="s">
        <v>61</v>
      </c>
    </row>
    <row r="9" customFormat="false" ht="14.25" hidden="false" customHeight="true" outlineLevel="0" collapsed="false">
      <c r="A9" s="6" t="s">
        <v>62</v>
      </c>
      <c r="B9" s="6" t="s">
        <v>22</v>
      </c>
      <c r="C9" s="6" t="s">
        <v>63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68</v>
      </c>
      <c r="I9" s="6" t="s">
        <v>69</v>
      </c>
      <c r="J9" s="6" t="s">
        <v>30</v>
      </c>
      <c r="K9" s="6" t="s">
        <v>70</v>
      </c>
      <c r="L9" s="6" t="s">
        <v>71</v>
      </c>
      <c r="M9" s="7" t="s">
        <v>72</v>
      </c>
      <c r="N9" s="6" t="s">
        <v>73</v>
      </c>
      <c r="O9" s="6" t="s">
        <v>74</v>
      </c>
      <c r="P9" s="6" t="s">
        <v>35</v>
      </c>
      <c r="Q9" s="6"/>
      <c r="R9" s="6" t="s">
        <v>75</v>
      </c>
    </row>
    <row r="10" customFormat="false" ht="14.25" hidden="false" customHeight="true" outlineLevel="0" collapsed="false">
      <c r="A10" s="6" t="s">
        <v>62</v>
      </c>
      <c r="B10" s="6" t="s">
        <v>37</v>
      </c>
      <c r="C10" s="6" t="s">
        <v>63</v>
      </c>
      <c r="D10" s="6" t="s">
        <v>64</v>
      </c>
      <c r="E10" s="6" t="s">
        <v>65</v>
      </c>
      <c r="F10" s="6" t="s">
        <v>38</v>
      </c>
      <c r="G10" s="6" t="s">
        <v>67</v>
      </c>
      <c r="H10" s="6" t="s">
        <v>68</v>
      </c>
      <c r="I10" s="6" t="s">
        <v>76</v>
      </c>
      <c r="J10" s="6" t="s">
        <v>41</v>
      </c>
      <c r="K10" s="6" t="s">
        <v>70</v>
      </c>
      <c r="L10" s="6" t="s">
        <v>71</v>
      </c>
      <c r="M10" s="6" t="str">
        <f aca="false">HYPERLINK("https://drive.google.com/file/d/1KspaZyafgXLqAT9v09x4d9dp92aDB1Qm/view?usp=sharing", "SS_006")</f>
        <v>SS_006</v>
      </c>
      <c r="N10" s="6" t="s">
        <v>42</v>
      </c>
      <c r="O10" s="6" t="s">
        <v>77</v>
      </c>
      <c r="P10" s="6" t="s">
        <v>44</v>
      </c>
      <c r="Q10" s="6" t="s">
        <v>41</v>
      </c>
      <c r="R10" s="6" t="s">
        <v>78</v>
      </c>
    </row>
    <row r="11" customFormat="false" ht="14.25" hidden="false" customHeight="true" outlineLevel="0" collapsed="false">
      <c r="A11" s="6" t="s">
        <v>79</v>
      </c>
      <c r="B11" s="6" t="s">
        <v>22</v>
      </c>
      <c r="C11" s="6" t="s">
        <v>80</v>
      </c>
      <c r="D11" s="6" t="s">
        <v>81</v>
      </c>
      <c r="E11" s="6" t="s">
        <v>65</v>
      </c>
      <c r="F11" s="6" t="s">
        <v>82</v>
      </c>
      <c r="G11" s="6" t="s">
        <v>83</v>
      </c>
      <c r="H11" s="6" t="s">
        <v>84</v>
      </c>
      <c r="I11" s="6" t="s">
        <v>85</v>
      </c>
      <c r="J11" s="6" t="s">
        <v>30</v>
      </c>
      <c r="K11" s="6" t="s">
        <v>86</v>
      </c>
      <c r="L11" s="6" t="s">
        <v>87</v>
      </c>
      <c r="M11" s="8" t="s">
        <v>72</v>
      </c>
      <c r="N11" s="6" t="s">
        <v>88</v>
      </c>
      <c r="O11" s="6" t="s">
        <v>89</v>
      </c>
      <c r="P11" s="6" t="s">
        <v>35</v>
      </c>
      <c r="Q11" s="6"/>
      <c r="R11" s="6" t="s">
        <v>90</v>
      </c>
    </row>
    <row r="12" customFormat="false" ht="14.25" hidden="false" customHeight="true" outlineLevel="0" collapsed="false">
      <c r="A12" s="6" t="s">
        <v>79</v>
      </c>
      <c r="B12" s="6" t="s">
        <v>37</v>
      </c>
      <c r="C12" s="6" t="s">
        <v>80</v>
      </c>
      <c r="D12" s="6" t="s">
        <v>81</v>
      </c>
      <c r="E12" s="6" t="s">
        <v>65</v>
      </c>
      <c r="F12" s="6" t="s">
        <v>38</v>
      </c>
      <c r="G12" s="6" t="s">
        <v>83</v>
      </c>
      <c r="H12" s="6" t="s">
        <v>84</v>
      </c>
      <c r="I12" s="6" t="s">
        <v>91</v>
      </c>
      <c r="J12" s="6" t="s">
        <v>41</v>
      </c>
      <c r="K12" s="6" t="s">
        <v>86</v>
      </c>
      <c r="L12" s="6" t="s">
        <v>87</v>
      </c>
      <c r="M12" s="6" t="str">
        <f aca="false">HYPERLINK("https://drive.google.com/file/d/1JJaLp5OwsBPhp7Vg0zGCCUyZVEftZAmq/view?usp=sharing", "SS_008")</f>
        <v>SS_008</v>
      </c>
      <c r="N12" s="6" t="s">
        <v>42</v>
      </c>
      <c r="O12" s="6" t="s">
        <v>77</v>
      </c>
      <c r="P12" s="6" t="s">
        <v>44</v>
      </c>
      <c r="Q12" s="6" t="s">
        <v>41</v>
      </c>
      <c r="R12" s="6" t="s">
        <v>92</v>
      </c>
    </row>
    <row r="13" customFormat="false" ht="14.25" hidden="false" customHeight="true" outlineLevel="0" collapsed="false">
      <c r="A13" s="6" t="s">
        <v>93</v>
      </c>
      <c r="B13" s="6" t="s">
        <v>22</v>
      </c>
      <c r="C13" s="6" t="s">
        <v>94</v>
      </c>
      <c r="D13" s="6" t="s">
        <v>95</v>
      </c>
      <c r="E13" s="6" t="s">
        <v>96</v>
      </c>
      <c r="F13" s="6" t="s">
        <v>97</v>
      </c>
      <c r="G13" s="6" t="s">
        <v>98</v>
      </c>
      <c r="H13" s="6" t="s">
        <v>99</v>
      </c>
      <c r="I13" s="6" t="s">
        <v>100</v>
      </c>
      <c r="J13" s="6" t="s">
        <v>41</v>
      </c>
      <c r="K13" s="6"/>
      <c r="L13" s="6"/>
      <c r="M13" s="6" t="s">
        <v>101</v>
      </c>
      <c r="N13" s="6"/>
      <c r="O13" s="6"/>
      <c r="P13" s="6" t="s">
        <v>35</v>
      </c>
      <c r="Q13" s="6"/>
      <c r="R13" s="6" t="s">
        <v>102</v>
      </c>
    </row>
    <row r="14" customFormat="false" ht="14.25" hidden="false" customHeight="true" outlineLevel="0" collapsed="false">
      <c r="A14" s="6" t="s">
        <v>103</v>
      </c>
      <c r="B14" s="6" t="s">
        <v>22</v>
      </c>
      <c r="C14" s="6" t="s">
        <v>104</v>
      </c>
      <c r="D14" s="6" t="s">
        <v>105</v>
      </c>
      <c r="E14" s="6" t="s">
        <v>106</v>
      </c>
      <c r="F14" s="6" t="s">
        <v>107</v>
      </c>
      <c r="G14" s="6" t="s">
        <v>108</v>
      </c>
      <c r="H14" s="6" t="s">
        <v>109</v>
      </c>
      <c r="I14" s="6" t="s">
        <v>110</v>
      </c>
      <c r="J14" s="6" t="s">
        <v>41</v>
      </c>
      <c r="K14" s="6"/>
      <c r="L14" s="6"/>
      <c r="M14" s="6" t="s">
        <v>101</v>
      </c>
      <c r="N14" s="6"/>
      <c r="O14" s="6"/>
      <c r="P14" s="6" t="s">
        <v>35</v>
      </c>
      <c r="Q14" s="6"/>
      <c r="R14" s="6" t="s">
        <v>111</v>
      </c>
    </row>
    <row r="20" customFormat="false" ht="14.25" hidden="false" customHeight="true" outlineLevel="0" collapsed="false">
      <c r="G20" s="1" t="n">
        <v>55</v>
      </c>
    </row>
  </sheetData>
  <mergeCells count="2">
    <mergeCell ref="D1:F1"/>
    <mergeCell ref="D3:F3"/>
  </mergeCells>
  <hyperlinks>
    <hyperlink ref="G5" r:id="rId1" display="newuser1@dialogus.com"/>
    <hyperlink ref="G6" r:id="rId2" display="newuser1@dialogus.acom"/>
    <hyperlink ref="G7" r:id="rId3" display="demo@dialogus.com / password123"/>
    <hyperlink ref="G8" r:id="rId4" display="demo@dialogus.com / password12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N19" activeCellId="0" sqref="N19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1.27"/>
    <col collapsed="false" customWidth="true" hidden="false" outlineLevel="0" max="2" min="2" style="1" width="6.37"/>
    <col collapsed="false" customWidth="true" hidden="false" outlineLevel="0" max="3" min="3" style="1" width="14.45"/>
    <col collapsed="false" customWidth="true" hidden="false" outlineLevel="0" max="4" min="4" style="1" width="42.28"/>
    <col collapsed="false" customWidth="true" hidden="false" outlineLevel="0" max="5" min="5" style="1" width="32.23"/>
    <col collapsed="false" customWidth="true" hidden="false" outlineLevel="0" max="6" min="6" style="1" width="36.89"/>
    <col collapsed="false" customWidth="true" hidden="false" outlineLevel="0" max="7" min="7" style="1" width="32.48"/>
    <col collapsed="false" customWidth="true" hidden="false" outlineLevel="0" max="8" min="8" style="1" width="53.56"/>
    <col collapsed="false" customWidth="true" hidden="false" outlineLevel="0" max="9" min="9" style="1" width="49.14"/>
    <col collapsed="false" customWidth="true" hidden="false" outlineLevel="0" max="10" min="10" style="1" width="6.18"/>
    <col collapsed="false" customWidth="true" hidden="false" outlineLevel="0" max="12" min="12" style="1" width="27.7"/>
    <col collapsed="false" customWidth="true" hidden="false" outlineLevel="0" max="13" min="13" style="1" width="26.6"/>
    <col collapsed="false" customWidth="true" hidden="false" outlineLevel="0" max="14" min="14" style="1" width="48.53"/>
    <col collapsed="false" customWidth="true" hidden="false" outlineLevel="0" max="15" min="15" style="1" width="48.9"/>
    <col collapsed="false" customWidth="true" hidden="false" outlineLevel="0" max="16" min="16" style="1" width="14.64"/>
    <col collapsed="false" customWidth="true" hidden="false" outlineLevel="0" max="17" min="17" style="1" width="11.82"/>
    <col collapsed="false" customWidth="true" hidden="false" outlineLevel="0" max="18" min="18" style="1" width="84.08"/>
  </cols>
  <sheetData>
    <row r="1" customFormat="false" ht="14.25" hidden="false" customHeight="true" outlineLevel="0" collapsed="false">
      <c r="D1" s="2" t="s">
        <v>0</v>
      </c>
      <c r="E1" s="2"/>
      <c r="F1" s="2"/>
    </row>
    <row r="2" customFormat="false" ht="14.25" hidden="false" customHeight="true" outlineLevel="0" collapsed="false">
      <c r="E2" s="3" t="s">
        <v>112</v>
      </c>
    </row>
    <row r="3" customFormat="false" ht="15" hidden="false" customHeight="true" outlineLevel="0" collapsed="false">
      <c r="D3" s="4" t="s">
        <v>2</v>
      </c>
      <c r="E3" s="4"/>
      <c r="F3" s="4"/>
    </row>
    <row r="4" customFormat="false" ht="14.2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customFormat="false" ht="14.25" hidden="false" customHeight="true" outlineLevel="0" collapsed="false">
      <c r="A5" s="6" t="s">
        <v>113</v>
      </c>
      <c r="B5" s="6" t="s">
        <v>22</v>
      </c>
      <c r="C5" s="6" t="s">
        <v>114</v>
      </c>
      <c r="D5" s="6" t="s">
        <v>115</v>
      </c>
      <c r="E5" s="6" t="s">
        <v>65</v>
      </c>
      <c r="F5" s="6" t="s">
        <v>116</v>
      </c>
      <c r="G5" s="6" t="s">
        <v>117</v>
      </c>
      <c r="H5" s="6" t="s">
        <v>118</v>
      </c>
      <c r="I5" s="6" t="s">
        <v>119</v>
      </c>
      <c r="J5" s="6" t="s">
        <v>41</v>
      </c>
      <c r="K5" s="6"/>
      <c r="L5" s="6"/>
      <c r="M5" s="6" t="s">
        <v>101</v>
      </c>
      <c r="N5" s="6"/>
      <c r="O5" s="6"/>
      <c r="P5" s="6" t="s">
        <v>120</v>
      </c>
      <c r="Q5" s="6"/>
      <c r="R5" s="6" t="s">
        <v>102</v>
      </c>
    </row>
    <row r="6" customFormat="false" ht="14.25" hidden="false" customHeight="true" outlineLevel="0" collapsed="false">
      <c r="A6" s="6" t="s">
        <v>121</v>
      </c>
      <c r="B6" s="6" t="s">
        <v>22</v>
      </c>
      <c r="C6" s="6" t="s">
        <v>114</v>
      </c>
      <c r="D6" s="6" t="s">
        <v>122</v>
      </c>
      <c r="E6" s="6" t="s">
        <v>65</v>
      </c>
      <c r="F6" s="6" t="s">
        <v>123</v>
      </c>
      <c r="G6" s="6" t="s">
        <v>124</v>
      </c>
      <c r="H6" s="6" t="s">
        <v>125</v>
      </c>
      <c r="I6" s="6" t="s">
        <v>126</v>
      </c>
      <c r="J6" s="6" t="s">
        <v>30</v>
      </c>
      <c r="K6" s="6" t="s">
        <v>127</v>
      </c>
      <c r="L6" s="6" t="s">
        <v>128</v>
      </c>
      <c r="M6" s="8" t="s">
        <v>72</v>
      </c>
      <c r="N6" s="6" t="s">
        <v>129</v>
      </c>
      <c r="O6" s="6" t="s">
        <v>130</v>
      </c>
      <c r="P6" s="6" t="s">
        <v>120</v>
      </c>
      <c r="Q6" s="6"/>
      <c r="R6" s="6" t="s">
        <v>131</v>
      </c>
    </row>
    <row r="7" customFormat="false" ht="14.25" hidden="false" customHeight="true" outlineLevel="0" collapsed="false">
      <c r="A7" s="6" t="s">
        <v>121</v>
      </c>
      <c r="B7" s="6" t="s">
        <v>37</v>
      </c>
      <c r="C7" s="6" t="s">
        <v>114</v>
      </c>
      <c r="D7" s="6" t="s">
        <v>122</v>
      </c>
      <c r="E7" s="6" t="s">
        <v>65</v>
      </c>
      <c r="F7" s="6" t="s">
        <v>38</v>
      </c>
      <c r="G7" s="6" t="s">
        <v>124</v>
      </c>
      <c r="H7" s="6" t="s">
        <v>125</v>
      </c>
      <c r="I7" s="6" t="s">
        <v>132</v>
      </c>
      <c r="J7" s="6" t="s">
        <v>41</v>
      </c>
      <c r="K7" s="6" t="s">
        <v>127</v>
      </c>
      <c r="L7" s="6" t="s">
        <v>128</v>
      </c>
      <c r="M7" s="6" t="str">
        <f aca="false">HYPERLINK("https://drive.google.com/file/d/10a3w2p3n8IGh3zANJSrRHO-UvOUxIqxP/view?usp=sharing", "SS-010")</f>
        <v>SS-010</v>
      </c>
      <c r="N7" s="6" t="s">
        <v>42</v>
      </c>
      <c r="O7" s="6" t="s">
        <v>133</v>
      </c>
      <c r="P7" s="6" t="s">
        <v>134</v>
      </c>
      <c r="Q7" s="6" t="s">
        <v>41</v>
      </c>
      <c r="R7" s="6" t="s">
        <v>135</v>
      </c>
    </row>
    <row r="8" customFormat="false" ht="14.25" hidden="false" customHeight="true" outlineLevel="0" collapsed="false">
      <c r="A8" s="6" t="s">
        <v>136</v>
      </c>
      <c r="B8" s="6" t="s">
        <v>22</v>
      </c>
      <c r="C8" s="6" t="s">
        <v>137</v>
      </c>
      <c r="D8" s="6" t="s">
        <v>138</v>
      </c>
      <c r="E8" s="6" t="s">
        <v>139</v>
      </c>
      <c r="F8" s="6" t="s">
        <v>140</v>
      </c>
      <c r="G8" s="6" t="s">
        <v>141</v>
      </c>
      <c r="H8" s="6" t="s">
        <v>142</v>
      </c>
      <c r="I8" s="6" t="s">
        <v>143</v>
      </c>
      <c r="J8" s="6" t="s">
        <v>41</v>
      </c>
      <c r="K8" s="6"/>
      <c r="L8" s="6"/>
      <c r="M8" s="6" t="s">
        <v>101</v>
      </c>
      <c r="N8" s="6"/>
      <c r="O8" s="6"/>
      <c r="P8" s="6" t="s">
        <v>120</v>
      </c>
      <c r="Q8" s="6"/>
      <c r="R8" s="6" t="s">
        <v>102</v>
      </c>
    </row>
    <row r="9" customFormat="false" ht="14.25" hidden="false" customHeight="true" outlineLevel="0" collapsed="false">
      <c r="A9" s="6" t="s">
        <v>144</v>
      </c>
      <c r="B9" s="6" t="s">
        <v>22</v>
      </c>
      <c r="C9" s="6" t="s">
        <v>137</v>
      </c>
      <c r="D9" s="6" t="s">
        <v>145</v>
      </c>
      <c r="E9" s="6" t="s">
        <v>146</v>
      </c>
      <c r="F9" s="6" t="s">
        <v>147</v>
      </c>
      <c r="G9" s="6" t="s">
        <v>141</v>
      </c>
      <c r="H9" s="6" t="s">
        <v>148</v>
      </c>
      <c r="I9" s="6" t="s">
        <v>149</v>
      </c>
      <c r="J9" s="6" t="s">
        <v>30</v>
      </c>
      <c r="K9" s="6" t="s">
        <v>150</v>
      </c>
      <c r="L9" s="6" t="s">
        <v>151</v>
      </c>
      <c r="M9" s="6" t="str">
        <f aca="false">HYPERLINK("https://drive.google.com/file/d/1BzedbdkUIIxc6TYj-LR-x8PUB5SE5UjF/view?usp=sharing", "SS_011")</f>
        <v>SS_011</v>
      </c>
      <c r="N9" s="6" t="s">
        <v>152</v>
      </c>
      <c r="O9" s="6" t="s">
        <v>153</v>
      </c>
      <c r="P9" s="6" t="s">
        <v>120</v>
      </c>
      <c r="Q9" s="6"/>
      <c r="R9" s="6" t="s">
        <v>154</v>
      </c>
    </row>
    <row r="10" customFormat="false" ht="14.25" hidden="false" customHeight="true" outlineLevel="0" collapsed="false">
      <c r="A10" s="6" t="s">
        <v>144</v>
      </c>
      <c r="B10" s="6" t="s">
        <v>37</v>
      </c>
      <c r="C10" s="6" t="s">
        <v>137</v>
      </c>
      <c r="D10" s="6" t="s">
        <v>145</v>
      </c>
      <c r="E10" s="6" t="s">
        <v>146</v>
      </c>
      <c r="F10" s="6" t="s">
        <v>38</v>
      </c>
      <c r="G10" s="6" t="s">
        <v>141</v>
      </c>
      <c r="H10" s="6" t="s">
        <v>148</v>
      </c>
      <c r="I10" s="6" t="s">
        <v>155</v>
      </c>
      <c r="J10" s="6" t="s">
        <v>41</v>
      </c>
      <c r="K10" s="6" t="s">
        <v>150</v>
      </c>
      <c r="L10" s="6" t="s">
        <v>151</v>
      </c>
      <c r="M10" s="6" t="str">
        <f aca="false">HYPERLINK("https://drive.google.com/file/d/1z3E6gqUUz-TS6VAQRsIA42GybZnfs6Eu/view?usp=sharing", "SS_012")</f>
        <v>SS_012</v>
      </c>
      <c r="N10" s="6" t="s">
        <v>42</v>
      </c>
      <c r="O10" s="6" t="s">
        <v>156</v>
      </c>
      <c r="P10" s="6" t="s">
        <v>134</v>
      </c>
      <c r="Q10" s="6" t="s">
        <v>41</v>
      </c>
      <c r="R10" s="6" t="s">
        <v>157</v>
      </c>
    </row>
    <row r="11" customFormat="false" ht="14.25" hidden="false" customHeight="true" outlineLevel="0" collapsed="false">
      <c r="A11" s="6" t="s">
        <v>158</v>
      </c>
      <c r="B11" s="6" t="s">
        <v>22</v>
      </c>
      <c r="C11" s="6" t="s">
        <v>159</v>
      </c>
      <c r="D11" s="6" t="s">
        <v>160</v>
      </c>
      <c r="E11" s="6" t="s">
        <v>161</v>
      </c>
      <c r="F11" s="6" t="s">
        <v>162</v>
      </c>
      <c r="G11" s="6" t="s">
        <v>141</v>
      </c>
      <c r="H11" s="6" t="s">
        <v>163</v>
      </c>
      <c r="I11" s="6" t="s">
        <v>100</v>
      </c>
      <c r="J11" s="6" t="s">
        <v>41</v>
      </c>
      <c r="K11" s="6"/>
      <c r="L11" s="6"/>
      <c r="M11" s="6" t="s">
        <v>101</v>
      </c>
      <c r="N11" s="6"/>
      <c r="O11" s="6"/>
      <c r="P11" s="6" t="s">
        <v>120</v>
      </c>
      <c r="Q11" s="6"/>
      <c r="R11" s="6" t="s">
        <v>102</v>
      </c>
    </row>
    <row r="12" customFormat="false" ht="14.25" hidden="false" customHeight="true" outlineLevel="0" collapsed="false">
      <c r="A12" s="6" t="s">
        <v>164</v>
      </c>
      <c r="B12" s="6" t="s">
        <v>22</v>
      </c>
      <c r="C12" s="6" t="s">
        <v>159</v>
      </c>
      <c r="D12" s="6" t="s">
        <v>165</v>
      </c>
      <c r="E12" s="6" t="s">
        <v>166</v>
      </c>
      <c r="F12" s="6" t="s">
        <v>167</v>
      </c>
      <c r="G12" s="6" t="s">
        <v>168</v>
      </c>
      <c r="H12" s="6" t="s">
        <v>169</v>
      </c>
      <c r="I12" s="6" t="s">
        <v>170</v>
      </c>
      <c r="J12" s="6" t="s">
        <v>30</v>
      </c>
      <c r="K12" s="6" t="s">
        <v>171</v>
      </c>
      <c r="L12" s="6" t="s">
        <v>172</v>
      </c>
      <c r="M12" s="8" t="s">
        <v>72</v>
      </c>
      <c r="N12" s="6" t="s">
        <v>173</v>
      </c>
      <c r="O12" s="6" t="s">
        <v>174</v>
      </c>
      <c r="P12" s="6" t="s">
        <v>120</v>
      </c>
      <c r="Q12" s="6"/>
      <c r="R12" s="6" t="s">
        <v>175</v>
      </c>
    </row>
    <row r="13" customFormat="false" ht="14.25" hidden="false" customHeight="true" outlineLevel="0" collapsed="false">
      <c r="A13" s="6" t="s">
        <v>164</v>
      </c>
      <c r="B13" s="6" t="s">
        <v>37</v>
      </c>
      <c r="C13" s="6" t="s">
        <v>159</v>
      </c>
      <c r="D13" s="6" t="s">
        <v>165</v>
      </c>
      <c r="E13" s="6" t="s">
        <v>166</v>
      </c>
      <c r="F13" s="6" t="s">
        <v>38</v>
      </c>
      <c r="G13" s="6" t="s">
        <v>168</v>
      </c>
      <c r="H13" s="6" t="s">
        <v>169</v>
      </c>
      <c r="I13" s="6" t="s">
        <v>176</v>
      </c>
      <c r="J13" s="6" t="s">
        <v>41</v>
      </c>
      <c r="K13" s="6" t="s">
        <v>171</v>
      </c>
      <c r="L13" s="6" t="s">
        <v>172</v>
      </c>
      <c r="M13" s="6" t="str">
        <f aca="false">HYPERLINK("https://drive.google.com/file/d/11MZlevbdgTch8LjGHOOmQuLI-MPmcG0L/view?usp=sharing", "SS_014")</f>
        <v>SS_014</v>
      </c>
      <c r="N13" s="6" t="s">
        <v>42</v>
      </c>
      <c r="O13" s="6" t="s">
        <v>156</v>
      </c>
      <c r="P13" s="6" t="s">
        <v>134</v>
      </c>
      <c r="Q13" s="6" t="s">
        <v>41</v>
      </c>
      <c r="R13" s="6" t="s">
        <v>177</v>
      </c>
    </row>
    <row r="14" customFormat="false" ht="14.25" hidden="false" customHeight="true" outlineLevel="0" collapsed="false">
      <c r="A14" s="6" t="s">
        <v>178</v>
      </c>
      <c r="B14" s="6" t="s">
        <v>22</v>
      </c>
      <c r="C14" s="6" t="s">
        <v>179</v>
      </c>
      <c r="D14" s="6" t="s">
        <v>180</v>
      </c>
      <c r="E14" s="6" t="s">
        <v>181</v>
      </c>
      <c r="F14" s="6" t="s">
        <v>182</v>
      </c>
      <c r="G14" s="6" t="s">
        <v>101</v>
      </c>
      <c r="H14" s="6" t="s">
        <v>183</v>
      </c>
      <c r="I14" s="6" t="s">
        <v>184</v>
      </c>
      <c r="J14" s="6" t="s">
        <v>41</v>
      </c>
      <c r="K14" s="6"/>
      <c r="L14" s="6"/>
      <c r="M14" s="6" t="s">
        <v>101</v>
      </c>
      <c r="N14" s="6"/>
      <c r="O14" s="6"/>
      <c r="P14" s="6" t="s">
        <v>120</v>
      </c>
      <c r="Q14" s="6"/>
      <c r="R14" s="6" t="s">
        <v>185</v>
      </c>
    </row>
    <row r="15" customFormat="false" ht="14.25" hidden="false" customHeight="true" outlineLevel="0" collapsed="false">
      <c r="A15" s="6" t="s">
        <v>186</v>
      </c>
      <c r="B15" s="6" t="s">
        <v>22</v>
      </c>
      <c r="C15" s="6" t="s">
        <v>179</v>
      </c>
      <c r="D15" s="6" t="s">
        <v>187</v>
      </c>
      <c r="E15" s="6" t="s">
        <v>181</v>
      </c>
      <c r="F15" s="6" t="s">
        <v>188</v>
      </c>
      <c r="G15" s="6" t="s">
        <v>101</v>
      </c>
      <c r="H15" s="6" t="s">
        <v>189</v>
      </c>
      <c r="I15" s="6" t="s">
        <v>190</v>
      </c>
      <c r="J15" s="6" t="s">
        <v>41</v>
      </c>
      <c r="K15" s="6"/>
      <c r="L15" s="6"/>
      <c r="M15" s="6" t="s">
        <v>101</v>
      </c>
      <c r="N15" s="6"/>
      <c r="O15" s="6"/>
      <c r="P15" s="6" t="s">
        <v>120</v>
      </c>
      <c r="Q15" s="6"/>
      <c r="R15" s="6" t="s">
        <v>191</v>
      </c>
    </row>
  </sheetData>
  <mergeCells count="2">
    <mergeCell ref="D1:F1"/>
    <mergeCell ref="D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LibreOffice_project/b8d3d8168498fa6cc231901342a3b8d72dd2bb7e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2026-04-09T06:46:36Z</dcterms:created>
  <dc:creator>openpyxl</dc:creator>
  <dc:description/>
  <dc:language>en-US</dc:language>
  <cp:lastModifiedBy/>
  <dcterms:modified xsi:type="dcterms:W3CDTF">2026-04-22T00:26:23Z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